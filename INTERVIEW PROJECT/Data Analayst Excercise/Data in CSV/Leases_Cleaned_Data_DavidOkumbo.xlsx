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vid\Documents\data analyst project\INTERVIEW PROJECT\Data Analayst Excercise\Data in CSV\"/>
    </mc:Choice>
  </mc:AlternateContent>
  <bookViews>
    <workbookView xWindow="0" yWindow="0" windowWidth="19200" windowHeight="7300"/>
  </bookViews>
  <sheets>
    <sheet name="leases" sheetId="1" r:id="rId1"/>
  </sheets>
  <calcPr calcId="152511"/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2" i="1"/>
  <c r="I3" i="1"/>
  <c r="I4" i="1"/>
  <c r="I5" i="1"/>
  <c r="I6" i="1"/>
  <c r="I7" i="1"/>
  <c r="I8" i="1"/>
  <c r="I9" i="1"/>
  <c r="I10" i="1"/>
  <c r="I11" i="1"/>
  <c r="I12" i="1"/>
  <c r="I13" i="1"/>
  <c r="I2" i="1"/>
  <c r="H11" i="1" l="1"/>
  <c r="H12" i="1"/>
  <c r="H13" i="1"/>
  <c r="J13" i="1" s="1"/>
  <c r="H10" i="1"/>
  <c r="J10" i="1" s="1"/>
  <c r="H9" i="1"/>
  <c r="H8" i="1"/>
  <c r="J8" i="1" s="1"/>
  <c r="H3" i="1"/>
  <c r="J3" i="1" s="1"/>
  <c r="H4" i="1"/>
  <c r="J4" i="1" s="1"/>
  <c r="H5" i="1"/>
  <c r="H6" i="1"/>
  <c r="H7" i="1"/>
  <c r="J7" i="1" s="1"/>
  <c r="H2" i="1"/>
  <c r="J2" i="1" s="1"/>
  <c r="K3" i="1"/>
  <c r="K4" i="1"/>
  <c r="K5" i="1"/>
  <c r="K6" i="1"/>
  <c r="K7" i="1"/>
  <c r="K8" i="1"/>
  <c r="K9" i="1"/>
  <c r="K10" i="1"/>
  <c r="K11" i="1"/>
  <c r="K12" i="1"/>
  <c r="K13" i="1"/>
  <c r="K2" i="1"/>
  <c r="J5" i="1"/>
  <c r="J6" i="1"/>
  <c r="J9" i="1"/>
  <c r="J11" i="1"/>
  <c r="J12" i="1"/>
</calcChain>
</file>

<file path=xl/sharedStrings.xml><?xml version="1.0" encoding="utf-8"?>
<sst xmlns="http://schemas.openxmlformats.org/spreadsheetml/2006/main" count="12" uniqueCount="12">
  <si>
    <t>Annual_Rent</t>
  </si>
  <si>
    <t>Id</t>
  </si>
  <si>
    <t>Unit_Id</t>
  </si>
  <si>
    <t>Tenant_Id</t>
  </si>
  <si>
    <t>Rent_Per_Month</t>
  </si>
  <si>
    <t>Arrears</t>
  </si>
  <si>
    <t>Start_Date</t>
  </si>
  <si>
    <t>End_Date</t>
  </si>
  <si>
    <t>Cleaned_Rent_Per_Month</t>
  </si>
  <si>
    <t>Clean_End_Date</t>
  </si>
  <si>
    <t>Cleaned_Lease_Duration_Months</t>
  </si>
  <si>
    <t>Valid_Lease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</si>
</sst>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0" fontId="16" fillId="0" borderId="0" xfId="0" applyFont="1" applyAlignment="1">
      <alignment wrapText="1"/>
    </xf>
    <xf numFmtId="0" fontId="16" fillId="33" borderId="10" xfId="0" applyFont="1" applyFill="1" applyBorder="1" applyAlignment="1">
      <alignment wrapText="1"/>
    </xf>
    <xf numFmtId="0" fontId="16" fillId="33" borderId="0" xfId="0" applyFont="1" applyFill="1" applyAlignment="1">
      <alignment wrapText="1"/>
    </xf>
    <xf numFmtId="0" fontId="16" fillId="34" borderId="10" xfId="0" applyFont="1" applyFill="1" applyBorder="1" applyAlignment="1">
      <alignment wrapText="1"/>
    </xf>
    <xf numFmtId="14" fontId="16" fillId="34" borderId="10" xfId="0" applyNumberFormat="1" applyFont="1" applyFill="1" applyBorder="1" applyAlignment="1">
      <alignment wrapText="1"/>
    </xf>
    <xf numFmtId="0" fontId="0" fillId="34" borderId="10" xfId="0" applyFill="1" applyBorder="1"/>
    <xf numFmtId="14" fontId="0" fillId="34" borderId="10" xfId="0" applyNumberFormat="1" applyFill="1" applyBorder="1"/>
    <xf numFmtId="14" fontId="16" fillId="33" borderId="12" xfId="0" applyNumberFormat="1" applyFont="1" applyFill="1" applyBorder="1" applyAlignment="1">
      <alignment wrapText="1"/>
    </xf>
    <xf numFmtId="0" fontId="16" fillId="33" borderId="12" xfId="0" applyFont="1" applyFill="1" applyBorder="1" applyAlignment="1">
      <alignment wrapText="1"/>
    </xf>
    <xf numFmtId="14" fontId="0" fillId="0" borderId="10" xfId="0" applyNumberFormat="1" applyBorder="1"/>
    <xf numFmtId="0" fontId="0" fillId="0" borderId="10" xfId="0" applyBorder="1"/>
    <xf numFmtId="0" fontId="16" fillId="33" borderId="11" xfId="0" applyNumberFormat="1" applyFont="1" applyFill="1" applyBorder="1" applyAlignment="1">
      <alignment wrapText="1"/>
    </xf>
    <xf numFmtId="0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tabSelected="1" workbookViewId="0">
      <selection activeCell="M16" sqref="M16"/>
    </sheetView>
  </sheetViews>
  <sheetFormatPr defaultRowHeight="14.5" x14ac:dyDescent="0.35"/>
  <cols>
    <col min="3" max="3" width="10.26953125" customWidth="1"/>
    <col min="4" max="4" width="21" customWidth="1"/>
    <col min="6" max="6" width="14" style="1" customWidth="1"/>
    <col min="7" max="7" width="13.08984375" style="1" customWidth="1"/>
    <col min="8" max="8" width="14.54296875" style="1" customWidth="1"/>
    <col min="9" max="9" width="14" style="1" customWidth="1"/>
    <col min="10" max="10" width="15.7265625" customWidth="1"/>
    <col min="11" max="11" width="11.36328125" customWidth="1"/>
    <col min="12" max="12" width="11.81640625" customWidth="1"/>
  </cols>
  <sheetData>
    <row r="1" spans="1:12" s="2" customFormat="1" ht="43.5" x14ac:dyDescent="0.35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6" t="s">
        <v>6</v>
      </c>
      <c r="G1" s="6" t="s">
        <v>7</v>
      </c>
      <c r="H1" s="9" t="s">
        <v>9</v>
      </c>
      <c r="I1" s="13" t="s">
        <v>8</v>
      </c>
      <c r="J1" s="10" t="s">
        <v>10</v>
      </c>
      <c r="K1" s="4" t="s">
        <v>11</v>
      </c>
      <c r="L1" s="3" t="s">
        <v>0</v>
      </c>
    </row>
    <row r="2" spans="1:12" x14ac:dyDescent="0.35">
      <c r="A2" s="7">
        <v>1</v>
      </c>
      <c r="B2" s="7">
        <v>1</v>
      </c>
      <c r="C2" s="7">
        <v>1</v>
      </c>
      <c r="D2" s="7">
        <v>45000</v>
      </c>
      <c r="E2" s="7">
        <v>0</v>
      </c>
      <c r="F2" s="8">
        <v>45292</v>
      </c>
      <c r="G2" s="8"/>
      <c r="H2" s="11">
        <f>IF(OR(G2="",G2&lt;F2),EDATE(F2,12)-1,G2)</f>
        <v>45657</v>
      </c>
      <c r="I2" s="14">
        <f>ABS(D2)</f>
        <v>45000</v>
      </c>
      <c r="J2" s="12">
        <f>DATEDIF(F2,H2,"M")</f>
        <v>11</v>
      </c>
      <c r="K2" s="12">
        <f>IF(OR(D2&lt;=0,F2&gt;G2),0,1)</f>
        <v>0</v>
      </c>
      <c r="L2" s="12">
        <f>PRODUCT(I2,12)</f>
        <v>540000</v>
      </c>
    </row>
    <row r="3" spans="1:12" x14ac:dyDescent="0.35">
      <c r="A3" s="7">
        <v>2</v>
      </c>
      <c r="B3" s="7">
        <v>2</v>
      </c>
      <c r="C3" s="7">
        <v>2</v>
      </c>
      <c r="D3" s="7">
        <v>55000</v>
      </c>
      <c r="E3" s="7">
        <v>5000</v>
      </c>
      <c r="F3" s="8">
        <v>45231</v>
      </c>
      <c r="G3" s="8">
        <v>45596</v>
      </c>
      <c r="H3" s="11">
        <f>IF(OR(G3="",G3&lt;F3),EDATE(F3,12)-1,G3)</f>
        <v>45596</v>
      </c>
      <c r="I3" s="14">
        <f t="shared" ref="I3:I13" si="0">ABS(D3)</f>
        <v>55000</v>
      </c>
      <c r="J3" s="12">
        <f>DATEDIF(F3,H3,"M")</f>
        <v>11</v>
      </c>
      <c r="K3" s="12">
        <f>IF(OR(D3&lt;=0,F3&gt;G3),0,1)</f>
        <v>1</v>
      </c>
      <c r="L3" s="12">
        <f t="shared" ref="L3:L13" si="1">PRODUCT(I3,12)</f>
        <v>660000</v>
      </c>
    </row>
    <row r="4" spans="1:12" x14ac:dyDescent="0.35">
      <c r="A4" s="7">
        <v>3</v>
      </c>
      <c r="B4" s="7">
        <v>3</v>
      </c>
      <c r="C4" s="7">
        <v>3</v>
      </c>
      <c r="D4" s="7">
        <v>65000</v>
      </c>
      <c r="E4" s="7">
        <v>-2000</v>
      </c>
      <c r="F4" s="8">
        <v>45323</v>
      </c>
      <c r="G4" s="8"/>
      <c r="H4" s="11">
        <f>IF(OR(G4="",G4&lt;F4),EDATE(F4,12)-1,G4)</f>
        <v>45688</v>
      </c>
      <c r="I4" s="14">
        <f t="shared" si="0"/>
        <v>65000</v>
      </c>
      <c r="J4" s="12">
        <f>DATEDIF(F4,H4,"M")</f>
        <v>11</v>
      </c>
      <c r="K4" s="12">
        <f>IF(OR(D4&lt;=0,F4&gt;G4),0,1)</f>
        <v>0</v>
      </c>
      <c r="L4" s="12">
        <f t="shared" si="1"/>
        <v>780000</v>
      </c>
    </row>
    <row r="5" spans="1:12" x14ac:dyDescent="0.35">
      <c r="A5" s="7">
        <v>4</v>
      </c>
      <c r="B5" s="7">
        <v>4</v>
      </c>
      <c r="C5" s="7">
        <v>4</v>
      </c>
      <c r="D5" s="7">
        <v>-30000</v>
      </c>
      <c r="E5" s="7">
        <v>1000</v>
      </c>
      <c r="F5" s="8">
        <v>45352</v>
      </c>
      <c r="G5" s="8"/>
      <c r="H5" s="11">
        <f>IF(OR(G5="",G5&lt;F5),EDATE(F5,12)-1,G5)</f>
        <v>45716</v>
      </c>
      <c r="I5" s="14">
        <f t="shared" si="0"/>
        <v>30000</v>
      </c>
      <c r="J5" s="12">
        <f>DATEDIF(F5,H5,"M")</f>
        <v>11</v>
      </c>
      <c r="K5" s="12">
        <f>IF(OR(D5&lt;=0,F5&gt;G5),0,1)</f>
        <v>0</v>
      </c>
      <c r="L5" s="12">
        <f t="shared" si="1"/>
        <v>360000</v>
      </c>
    </row>
    <row r="6" spans="1:12" x14ac:dyDescent="0.35">
      <c r="A6" s="7">
        <v>5</v>
      </c>
      <c r="B6" s="7">
        <v>5</v>
      </c>
      <c r="C6" s="7">
        <v>3</v>
      </c>
      <c r="D6" s="7">
        <v>70000</v>
      </c>
      <c r="E6" s="7">
        <v>0</v>
      </c>
      <c r="F6" s="8">
        <v>45689</v>
      </c>
      <c r="G6" s="8">
        <v>46022</v>
      </c>
      <c r="H6" s="11">
        <f>IF(OR(G6="",G6&lt;F6),EDATE(F6,12)-1,G6)</f>
        <v>46022</v>
      </c>
      <c r="I6" s="14">
        <f t="shared" si="0"/>
        <v>70000</v>
      </c>
      <c r="J6" s="12">
        <f>DATEDIF(F6,H6,"M")</f>
        <v>10</v>
      </c>
      <c r="K6" s="12">
        <f>IF(OR(D6&lt;=0,F6&gt;G6),0,1)</f>
        <v>1</v>
      </c>
      <c r="L6" s="12">
        <f t="shared" si="1"/>
        <v>840000</v>
      </c>
    </row>
    <row r="7" spans="1:12" x14ac:dyDescent="0.35">
      <c r="A7" s="7">
        <v>6</v>
      </c>
      <c r="B7" s="7">
        <v>6</v>
      </c>
      <c r="C7" s="7">
        <v>5</v>
      </c>
      <c r="D7" s="7">
        <v>40000</v>
      </c>
      <c r="E7" s="7">
        <v>8000</v>
      </c>
      <c r="F7" s="8">
        <v>45458</v>
      </c>
      <c r="G7" s="8">
        <v>45822</v>
      </c>
      <c r="H7" s="11">
        <f>IF(OR(G7="",G7&lt;F7),EDATE(F7,12)-1,G7)</f>
        <v>45822</v>
      </c>
      <c r="I7" s="14">
        <f t="shared" si="0"/>
        <v>40000</v>
      </c>
      <c r="J7" s="12">
        <f>DATEDIF(F7,H7,"M")</f>
        <v>11</v>
      </c>
      <c r="K7" s="12">
        <f>IF(OR(D7&lt;=0,F7&gt;G7),0,1)</f>
        <v>1</v>
      </c>
      <c r="L7" s="12">
        <f t="shared" si="1"/>
        <v>480000</v>
      </c>
    </row>
    <row r="8" spans="1:12" x14ac:dyDescent="0.35">
      <c r="A8" s="7">
        <v>7</v>
      </c>
      <c r="B8" s="7">
        <v>7</v>
      </c>
      <c r="C8" s="7">
        <v>6</v>
      </c>
      <c r="D8" s="7">
        <v>52000</v>
      </c>
      <c r="E8" s="7">
        <v>0</v>
      </c>
      <c r="F8" s="8">
        <v>45505</v>
      </c>
      <c r="G8" s="8">
        <v>45504</v>
      </c>
      <c r="H8" s="11">
        <f>IF(OR(G8="",G8&lt;F8),EDATE(F8,12)-1,G8)</f>
        <v>45869</v>
      </c>
      <c r="I8" s="14">
        <f t="shared" si="0"/>
        <v>52000</v>
      </c>
      <c r="J8" s="12">
        <f>DATEDIF(F8,H8,"M")</f>
        <v>11</v>
      </c>
      <c r="K8" s="12">
        <f>IF(OR(D8&lt;=0,F8&gt;G8),0,1)</f>
        <v>0</v>
      </c>
      <c r="L8" s="12">
        <f t="shared" si="1"/>
        <v>624000</v>
      </c>
    </row>
    <row r="9" spans="1:12" x14ac:dyDescent="0.35">
      <c r="A9" s="7">
        <v>8</v>
      </c>
      <c r="B9" s="7">
        <v>8</v>
      </c>
      <c r="C9" s="7">
        <v>7</v>
      </c>
      <c r="D9" s="7">
        <v>38000</v>
      </c>
      <c r="E9" s="7">
        <v>12000</v>
      </c>
      <c r="F9" s="8">
        <v>45170</v>
      </c>
      <c r="G9" s="8"/>
      <c r="H9" s="11">
        <f>IF(OR(G9="",G9&lt;F9),EDATE(F9,12)-1,G9)</f>
        <v>45535</v>
      </c>
      <c r="I9" s="14">
        <f t="shared" si="0"/>
        <v>38000</v>
      </c>
      <c r="J9" s="12">
        <f>DATEDIF(F9,H9,"M")</f>
        <v>11</v>
      </c>
      <c r="K9" s="12">
        <f>IF(OR(D9&lt;=0,F9&gt;G9),0,1)</f>
        <v>0</v>
      </c>
      <c r="L9" s="12">
        <f t="shared" si="1"/>
        <v>456000</v>
      </c>
    </row>
    <row r="10" spans="1:12" x14ac:dyDescent="0.35">
      <c r="A10" s="7">
        <v>9</v>
      </c>
      <c r="B10" s="7">
        <v>9</v>
      </c>
      <c r="C10" s="7">
        <v>8</v>
      </c>
      <c r="D10" s="7">
        <v>60000</v>
      </c>
      <c r="E10" s="7">
        <v>0</v>
      </c>
      <c r="F10" s="8">
        <v>45658</v>
      </c>
      <c r="G10" s="8"/>
      <c r="H10" s="11">
        <f>IF(OR(G10="",G10&lt;F10),EDATE(F10,12)-1,G10)</f>
        <v>46022</v>
      </c>
      <c r="I10" s="14">
        <f t="shared" si="0"/>
        <v>60000</v>
      </c>
      <c r="J10" s="12">
        <f>DATEDIF(F10,H10,"M")</f>
        <v>11</v>
      </c>
      <c r="K10" s="12">
        <f>IF(OR(D10&lt;=0,F10&gt;G10),0,1)</f>
        <v>0</v>
      </c>
      <c r="L10" s="12">
        <f t="shared" si="1"/>
        <v>720000</v>
      </c>
    </row>
    <row r="11" spans="1:12" x14ac:dyDescent="0.35">
      <c r="A11" s="7">
        <v>10</v>
      </c>
      <c r="B11" s="7">
        <v>10</v>
      </c>
      <c r="C11" s="7">
        <v>2</v>
      </c>
      <c r="D11" s="7">
        <v>-45000</v>
      </c>
      <c r="E11" s="7">
        <v>1000</v>
      </c>
      <c r="F11" s="8">
        <v>45323</v>
      </c>
      <c r="G11" s="8">
        <v>45657</v>
      </c>
      <c r="H11" s="11">
        <f>IF(OR(G11="",G11&lt;F11),EDATE(F11,12)-1,G11)</f>
        <v>45657</v>
      </c>
      <c r="I11" s="14">
        <f t="shared" si="0"/>
        <v>45000</v>
      </c>
      <c r="J11" s="12">
        <f>DATEDIF(F11,H11,"M")</f>
        <v>10</v>
      </c>
      <c r="K11" s="12">
        <f>IF(OR(D11&lt;=0,F11&gt;G11),0,1)</f>
        <v>0</v>
      </c>
      <c r="L11" s="12">
        <f t="shared" si="1"/>
        <v>540000</v>
      </c>
    </row>
    <row r="12" spans="1:12" x14ac:dyDescent="0.35">
      <c r="A12" s="7">
        <v>11</v>
      </c>
      <c r="B12" s="7">
        <v>11</v>
      </c>
      <c r="C12" s="7">
        <v>9</v>
      </c>
      <c r="D12" s="7">
        <v>31000</v>
      </c>
      <c r="E12" s="7">
        <v>0</v>
      </c>
      <c r="F12" s="8">
        <v>45047</v>
      </c>
      <c r="G12" s="8">
        <v>45412</v>
      </c>
      <c r="H12" s="11">
        <f>IF(OR(G12="",G12&lt;F12),EDATE(F12,12)-1,G12)</f>
        <v>45412</v>
      </c>
      <c r="I12" s="14">
        <f t="shared" si="0"/>
        <v>31000</v>
      </c>
      <c r="J12" s="12">
        <f>DATEDIF(F12,H12,"M")</f>
        <v>11</v>
      </c>
      <c r="K12" s="12">
        <f>IF(OR(D12&lt;=0,F12&gt;G12),0,1)</f>
        <v>1</v>
      </c>
      <c r="L12" s="12">
        <f t="shared" si="1"/>
        <v>372000</v>
      </c>
    </row>
    <row r="13" spans="1:12" x14ac:dyDescent="0.35">
      <c r="A13" s="7">
        <v>12</v>
      </c>
      <c r="B13" s="7">
        <v>12</v>
      </c>
      <c r="C13" s="7">
        <v>10</v>
      </c>
      <c r="D13" s="7">
        <v>47000</v>
      </c>
      <c r="E13" s="7">
        <v>3000</v>
      </c>
      <c r="F13" s="8">
        <v>45566</v>
      </c>
      <c r="G13" s="8">
        <v>45930</v>
      </c>
      <c r="H13" s="11">
        <f>IF(OR(G13="",G13&lt;F13),EDATE(F13,12)-1,G13)</f>
        <v>45930</v>
      </c>
      <c r="I13" s="14">
        <f t="shared" si="0"/>
        <v>47000</v>
      </c>
      <c r="J13" s="12">
        <f>DATEDIF(F13,H13,"M")</f>
        <v>11</v>
      </c>
      <c r="K13" s="12">
        <f>IF(OR(D13&lt;=0,F13&gt;G13),0,1)</f>
        <v>1</v>
      </c>
      <c r="L13" s="12">
        <f t="shared" si="1"/>
        <v>564000</v>
      </c>
    </row>
    <row r="14" spans="1:12" x14ac:dyDescent="0.35">
      <c r="K14" s="1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leases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Okumbo</dc:creator>
  <cp:lastModifiedBy>David Okumbo</cp:lastModifiedBy>
  <dcterms:created xsi:type="dcterms:W3CDTF">2026-01-13T23:05:11Z</dcterms:created>
  <dcterms:modified xsi:type="dcterms:W3CDTF">2026-01-14T10:04:31Z</dcterms:modified>
</cp:coreProperties>
</file>